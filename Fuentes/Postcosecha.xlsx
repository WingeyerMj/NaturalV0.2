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miguelorb/Documents/Basura/"/>
    </mc:Choice>
  </mc:AlternateContent>
  <xr:revisionPtr revIDLastSave="0" documentId="8_{78DB5123-7EBA-A240-BD68-E511FD01D63F}" xr6:coauthVersionLast="47" xr6:coauthVersionMax="47" xr10:uidLastSave="{00000000-0000-0000-0000-000000000000}"/>
  <bookViews>
    <workbookView xWindow="0" yWindow="740" windowWidth="29400" windowHeight="18380" xr2:uid="{7EF30390-CF22-6247-B456-2D80C31E96EA}"/>
  </bookViews>
  <sheets>
    <sheet name="Post Cosech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1" l="1"/>
  <c r="N31" i="1"/>
  <c r="D31" i="1"/>
  <c r="M25" i="1"/>
  <c r="D24" i="1"/>
  <c r="M24" i="1" s="1"/>
  <c r="M23" i="1"/>
  <c r="D23" i="1"/>
  <c r="M22" i="1"/>
  <c r="M21" i="1"/>
  <c r="M20" i="1"/>
  <c r="M19" i="1"/>
  <c r="D19" i="1"/>
  <c r="D18" i="1"/>
  <c r="M18" i="1" s="1"/>
  <c r="M17" i="1"/>
  <c r="Q16" i="1"/>
  <c r="N16" i="1"/>
  <c r="M15" i="1"/>
  <c r="M14" i="1"/>
  <c r="D13" i="1"/>
  <c r="M13" i="1" s="1"/>
  <c r="M12" i="1"/>
  <c r="U11" i="1"/>
  <c r="M11" i="1"/>
  <c r="M10" i="1"/>
  <c r="M9" i="1"/>
  <c r="T8" i="1"/>
  <c r="M8" i="1"/>
  <c r="M7" i="1"/>
  <c r="D7" i="1"/>
  <c r="M6" i="1"/>
  <c r="M5" i="1"/>
  <c r="M4" i="1"/>
  <c r="M31" i="1" l="1"/>
  <c r="P20" i="1" s="1"/>
  <c r="O13" i="1"/>
  <c r="P24" i="1"/>
  <c r="O24" i="1"/>
  <c r="O18" i="1"/>
  <c r="P4" i="1"/>
  <c r="P19" i="1"/>
  <c r="O8" i="1"/>
  <c r="O12" i="1"/>
  <c r="O15" i="1"/>
  <c r="P13" i="1" l="1"/>
  <c r="P25" i="1"/>
  <c r="O23" i="1"/>
  <c r="O4" i="1"/>
  <c r="O25" i="1"/>
  <c r="O16" i="1"/>
  <c r="P17" i="1"/>
  <c r="T9" i="1" s="1"/>
  <c r="P14" i="1"/>
  <c r="P22" i="1"/>
  <c r="P11" i="1"/>
  <c r="P9" i="1"/>
  <c r="P5" i="1"/>
  <c r="T5" i="1" s="1"/>
  <c r="P16" i="1"/>
  <c r="O11" i="1"/>
  <c r="O9" i="1"/>
  <c r="O5" i="1"/>
  <c r="S5" i="1" s="1"/>
  <c r="O17" i="1"/>
  <c r="S9" i="1" s="1"/>
  <c r="O14" i="1"/>
  <c r="S7" i="1" s="1"/>
  <c r="O22" i="1"/>
  <c r="P12" i="1"/>
  <c r="O20" i="1"/>
  <c r="P8" i="1"/>
  <c r="P10" i="1"/>
  <c r="P18" i="1"/>
  <c r="P23" i="1"/>
  <c r="O19" i="1"/>
  <c r="P7" i="1"/>
  <c r="P15" i="1"/>
  <c r="O10" i="1"/>
  <c r="O6" i="1"/>
  <c r="O21" i="1"/>
  <c r="O7" i="1"/>
  <c r="P21" i="1"/>
  <c r="P6" i="1"/>
  <c r="T10" i="1" l="1"/>
  <c r="T6" i="1"/>
  <c r="T11" i="1" s="1"/>
  <c r="O32" i="1"/>
  <c r="S6" i="1"/>
  <c r="S11" i="1" s="1"/>
  <c r="S10" i="1"/>
  <c r="T7" i="1"/>
  <c r="P33" i="1"/>
  <c r="Q33" i="1" s="1"/>
</calcChain>
</file>

<file path=xl/sharedStrings.xml><?xml version="1.0" encoding="utf-8"?>
<sst xmlns="http://schemas.openxmlformats.org/spreadsheetml/2006/main" count="108" uniqueCount="68">
  <si>
    <t>Pre Cosecha</t>
  </si>
  <si>
    <t>Post Cosecha</t>
  </si>
  <si>
    <t>Nutriterra</t>
  </si>
  <si>
    <t>Bioaggil</t>
  </si>
  <si>
    <t>LITROS</t>
  </si>
  <si>
    <t>KILOS</t>
  </si>
  <si>
    <t>Operaciones</t>
  </si>
  <si>
    <t>Variedad</t>
  </si>
  <si>
    <t>Ha</t>
  </si>
  <si>
    <t>N</t>
  </si>
  <si>
    <t>P</t>
  </si>
  <si>
    <t>K</t>
  </si>
  <si>
    <t>Mg</t>
  </si>
  <si>
    <t>S</t>
  </si>
  <si>
    <t>MO</t>
  </si>
  <si>
    <t>Espejo 1 1</t>
  </si>
  <si>
    <t>Flame</t>
  </si>
  <si>
    <t>SI</t>
  </si>
  <si>
    <t>FINCAS</t>
  </si>
  <si>
    <t>CAPACIDAD</t>
  </si>
  <si>
    <t>Espejo 1 2</t>
  </si>
  <si>
    <t>ESPEJO 1</t>
  </si>
  <si>
    <t xml:space="preserve">Espejo 2 </t>
  </si>
  <si>
    <t>ESPEJO 2</t>
  </si>
  <si>
    <t>Selma</t>
  </si>
  <si>
    <t>CAMINO TRUNCADO</t>
  </si>
  <si>
    <t>Fiesta</t>
  </si>
  <si>
    <t>CAMINO TRUNCADO SOLIDO</t>
  </si>
  <si>
    <t>Espejo 3 1</t>
  </si>
  <si>
    <t>LA CHIMBERA</t>
  </si>
  <si>
    <t>Espejo 3 2</t>
  </si>
  <si>
    <t>PUENTE ALTO</t>
  </si>
  <si>
    <t>Espejo 3 3</t>
  </si>
  <si>
    <t>CT Goteo 1</t>
  </si>
  <si>
    <t xml:space="preserve">Fiesta </t>
  </si>
  <si>
    <t>CT Goteo 2</t>
  </si>
  <si>
    <t>Flame S</t>
  </si>
  <si>
    <t>CT Goteo 3</t>
  </si>
  <si>
    <t>Arizul</t>
  </si>
  <si>
    <t>CT Goteo 4</t>
  </si>
  <si>
    <t>Variado</t>
  </si>
  <si>
    <t>CT Manto</t>
  </si>
  <si>
    <t>LCH 1</t>
  </si>
  <si>
    <t>LCH 2</t>
  </si>
  <si>
    <t>Flame 1</t>
  </si>
  <si>
    <t>LCH 3</t>
  </si>
  <si>
    <t>Flame 2</t>
  </si>
  <si>
    <t>LCH 4</t>
  </si>
  <si>
    <t>PA 1</t>
  </si>
  <si>
    <t>PA 2</t>
  </si>
  <si>
    <t>PA 3</t>
  </si>
  <si>
    <t>PA 4</t>
  </si>
  <si>
    <t>PA 5</t>
  </si>
  <si>
    <t>Zonda</t>
  </si>
  <si>
    <t>Caucete</t>
  </si>
  <si>
    <t>San Martin</t>
  </si>
  <si>
    <t>Albardon</t>
  </si>
  <si>
    <t>Vivero</t>
  </si>
  <si>
    <t>UNIDADES</t>
  </si>
  <si>
    <t>Solanum</t>
  </si>
  <si>
    <t>Litros</t>
  </si>
  <si>
    <t>kg totales</t>
  </si>
  <si>
    <t>usd/kilo</t>
  </si>
  <si>
    <t>S/IVA</t>
  </si>
  <si>
    <t>Dolar abierto Julio</t>
  </si>
  <si>
    <t>Cheque Julio $</t>
  </si>
  <si>
    <t>30/60/90</t>
  </si>
  <si>
    <t>cheque Mayo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</si>
</sst>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?_);_(@_)"/>
    <numFmt numFmtId="166" formatCode="_(* #,##0_);_(* \(#,##0\);_(* &quot;-&quot;??_);_(@_)"/>
    <numFmt numFmtId="167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2FF8B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164" fontId="0" fillId="0" borderId="0" xfId="0" applyNumberFormat="1"/>
    <xf numFmtId="164" fontId="0" fillId="2" borderId="0" xfId="1" applyNumberFormat="1" applyFont="1" applyFill="1"/>
    <xf numFmtId="0" fontId="0" fillId="0" borderId="12" xfId="0" applyBorder="1"/>
    <xf numFmtId="0" fontId="0" fillId="0" borderId="13" xfId="0" applyBorder="1"/>
    <xf numFmtId="165" fontId="0" fillId="0" borderId="12" xfId="0" applyNumberFormat="1" applyBorder="1"/>
    <xf numFmtId="166" fontId="0" fillId="0" borderId="12" xfId="1" applyNumberFormat="1" applyFont="1" applyBorder="1"/>
    <xf numFmtId="164" fontId="0" fillId="3" borderId="0" xfId="1" applyNumberFormat="1" applyFont="1" applyFill="1"/>
    <xf numFmtId="164" fontId="0" fillId="0" borderId="12" xfId="0" applyNumberFormat="1" applyBorder="1"/>
    <xf numFmtId="164" fontId="0" fillId="0" borderId="12" xfId="1" applyNumberFormat="1" applyFont="1" applyBorder="1"/>
    <xf numFmtId="164" fontId="0" fillId="4" borderId="0" xfId="1" applyNumberFormat="1" applyFont="1" applyFill="1"/>
    <xf numFmtId="164" fontId="0" fillId="0" borderId="0" xfId="1" applyNumberFormat="1" applyFont="1"/>
    <xf numFmtId="164" fontId="0" fillId="5" borderId="0" xfId="1" applyNumberFormat="1" applyFont="1" applyFill="1"/>
    <xf numFmtId="164" fontId="0" fillId="6" borderId="0" xfId="1" applyNumberFormat="1" applyFont="1" applyFill="1"/>
    <xf numFmtId="0" fontId="0" fillId="0" borderId="14" xfId="0" applyBorder="1" applyAlignment="1">
      <alignment horizontal="center"/>
    </xf>
    <xf numFmtId="43" fontId="0" fillId="0" borderId="0" xfId="1" applyFont="1"/>
    <xf numFmtId="165" fontId="0" fillId="0" borderId="0" xfId="0" applyNumberFormat="1"/>
    <xf numFmtId="0" fontId="2" fillId="0" borderId="12" xfId="0" applyFont="1" applyBorder="1" applyAlignment="1">
      <alignment horizontal="center"/>
    </xf>
    <xf numFmtId="0" fontId="0" fillId="0" borderId="14" xfId="0" applyBorder="1"/>
    <xf numFmtId="0" fontId="0" fillId="0" borderId="5" xfId="0" applyBorder="1"/>
    <xf numFmtId="43" fontId="0" fillId="0" borderId="6" xfId="1" applyFont="1" applyBorder="1"/>
    <xf numFmtId="164" fontId="0" fillId="2" borderId="6" xfId="1" applyNumberFormat="1" applyFont="1" applyFill="1" applyBorder="1"/>
    <xf numFmtId="0" fontId="0" fillId="0" borderId="15" xfId="0" applyBorder="1"/>
    <xf numFmtId="0" fontId="0" fillId="0" borderId="16" xfId="0" applyBorder="1"/>
    <xf numFmtId="164" fontId="0" fillId="2" borderId="12" xfId="1" applyNumberFormat="1" applyFont="1" applyFill="1" applyBorder="1"/>
    <xf numFmtId="167" fontId="0" fillId="0" borderId="0" xfId="2" applyNumberFormat="1" applyFont="1" applyAlignment="1">
      <alignment horizontal="center"/>
    </xf>
    <xf numFmtId="43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8FF8-F165-7943-8FDA-8267CA0BA93C}">
  <dimension ref="A1:U49"/>
  <sheetViews>
    <sheetView tabSelected="1" zoomScale="194" zoomScaleNormal="1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T17" sqref="T17"/>
    </sheetView>
  </sheetViews>
  <sheetFormatPr baseColWidth="10" defaultRowHeight="16" x14ac:dyDescent="0.2"/>
  <cols>
    <col min="6" max="11" width="10.83203125" customWidth="1"/>
    <col min="13" max="13" width="16" bestFit="1" customWidth="1"/>
    <col min="14" max="14" width="13.5" bestFit="1" customWidth="1"/>
    <col min="18" max="18" width="24.5" customWidth="1"/>
  </cols>
  <sheetData>
    <row r="1" spans="1:21" ht="17" thickBot="1" x14ac:dyDescent="0.25">
      <c r="F1" s="1"/>
      <c r="G1" s="1"/>
      <c r="H1" s="1"/>
      <c r="I1" s="1"/>
      <c r="J1" s="1"/>
      <c r="K1" s="1"/>
      <c r="L1" s="1"/>
    </row>
    <row r="2" spans="1:21" ht="17" thickBot="1" x14ac:dyDescent="0.25">
      <c r="F2" s="2" t="s">
        <v>0</v>
      </c>
      <c r="G2" s="3"/>
      <c r="H2" s="3"/>
      <c r="I2" s="3"/>
      <c r="J2" s="3"/>
      <c r="K2" s="4"/>
      <c r="L2" s="5" t="s">
        <v>1</v>
      </c>
      <c r="M2" t="s">
        <v>2</v>
      </c>
      <c r="N2" t="s">
        <v>3</v>
      </c>
      <c r="O2" t="s">
        <v>4</v>
      </c>
      <c r="P2" t="s">
        <v>5</v>
      </c>
    </row>
    <row r="3" spans="1:21" ht="17" thickBot="1" x14ac:dyDescent="0.25">
      <c r="A3" s="6" t="s">
        <v>6</v>
      </c>
      <c r="B3" s="7"/>
      <c r="C3" s="7" t="s">
        <v>7</v>
      </c>
      <c r="D3" s="8" t="s">
        <v>8</v>
      </c>
      <c r="F3" s="9" t="s">
        <v>9</v>
      </c>
      <c r="G3" s="10" t="s">
        <v>10</v>
      </c>
      <c r="H3" s="10" t="s">
        <v>11</v>
      </c>
      <c r="I3" s="11" t="s">
        <v>12</v>
      </c>
      <c r="J3" s="11" t="s">
        <v>13</v>
      </c>
      <c r="K3" s="11" t="s">
        <v>14</v>
      </c>
      <c r="L3" s="12" t="s">
        <v>9</v>
      </c>
    </row>
    <row r="4" spans="1:21" x14ac:dyDescent="0.2">
      <c r="A4" s="13" t="s">
        <v>15</v>
      </c>
      <c r="B4" s="14"/>
      <c r="C4" s="14" t="s">
        <v>16</v>
      </c>
      <c r="D4" s="14">
        <v>33.909999999999997</v>
      </c>
      <c r="F4" s="15">
        <v>100</v>
      </c>
      <c r="G4" s="15">
        <v>60</v>
      </c>
      <c r="H4" s="15">
        <v>240</v>
      </c>
      <c r="I4" s="15">
        <v>30</v>
      </c>
      <c r="J4" s="15">
        <v>6.5</v>
      </c>
      <c r="K4" s="15" t="s">
        <v>17</v>
      </c>
      <c r="L4" s="15">
        <v>100</v>
      </c>
      <c r="M4">
        <f>L4*D4</f>
        <v>3390.9999999999995</v>
      </c>
      <c r="O4" s="16">
        <f>M4/M$31*M$32</f>
        <v>14139.771618960525</v>
      </c>
      <c r="P4" s="17">
        <f>M4/M$31*M$33</f>
        <v>16147.668166038649</v>
      </c>
      <c r="R4" s="18" t="s">
        <v>18</v>
      </c>
      <c r="S4" s="18" t="s">
        <v>4</v>
      </c>
      <c r="T4" s="18" t="s">
        <v>5</v>
      </c>
      <c r="U4" s="18" t="s">
        <v>19</v>
      </c>
    </row>
    <row r="5" spans="1:21" x14ac:dyDescent="0.2">
      <c r="A5" s="19" t="s">
        <v>20</v>
      </c>
      <c r="B5" s="18"/>
      <c r="C5" s="18" t="s">
        <v>16</v>
      </c>
      <c r="D5" s="18">
        <v>21.12</v>
      </c>
      <c r="F5" s="15">
        <v>80</v>
      </c>
      <c r="G5" s="15">
        <v>40</v>
      </c>
      <c r="H5" s="15">
        <v>180</v>
      </c>
      <c r="I5" s="15">
        <v>20</v>
      </c>
      <c r="J5" s="15">
        <v>6.5</v>
      </c>
      <c r="K5" s="15" t="s">
        <v>17</v>
      </c>
      <c r="L5" s="15">
        <v>70</v>
      </c>
      <c r="M5">
        <f t="shared" ref="M5:M25" si="0">L5*D5</f>
        <v>1478.4</v>
      </c>
      <c r="O5" s="16">
        <f t="shared" ref="O5:O25" si="1">M5/M$31*M$32</f>
        <v>6164.6235215190936</v>
      </c>
      <c r="P5" s="17">
        <f t="shared" ref="P5:P25" si="2">M5/M$31*M$33</f>
        <v>7040.0214145300934</v>
      </c>
      <c r="R5" s="18" t="s">
        <v>21</v>
      </c>
      <c r="S5" s="20">
        <f>O5+O4</f>
        <v>20304.395140479617</v>
      </c>
      <c r="T5" s="20">
        <f>P5+P4</f>
        <v>23187.689580568742</v>
      </c>
      <c r="U5" s="21">
        <v>12000</v>
      </c>
    </row>
    <row r="6" spans="1:21" x14ac:dyDescent="0.2">
      <c r="A6" s="19" t="s">
        <v>22</v>
      </c>
      <c r="B6" s="18"/>
      <c r="C6" s="18" t="s">
        <v>16</v>
      </c>
      <c r="D6" s="18">
        <v>22.16</v>
      </c>
      <c r="F6" s="15">
        <v>100</v>
      </c>
      <c r="G6" s="15">
        <v>60</v>
      </c>
      <c r="H6" s="15">
        <v>240</v>
      </c>
      <c r="I6" s="15">
        <v>30</v>
      </c>
      <c r="J6" s="15">
        <v>6.5</v>
      </c>
      <c r="K6" s="15" t="s">
        <v>17</v>
      </c>
      <c r="L6" s="15">
        <v>100</v>
      </c>
      <c r="M6">
        <f t="shared" si="0"/>
        <v>2216</v>
      </c>
      <c r="O6" s="16">
        <f t="shared" si="1"/>
        <v>9240.2636118008068</v>
      </c>
      <c r="P6" s="22">
        <f t="shared" si="2"/>
        <v>10552.413051000194</v>
      </c>
      <c r="R6" s="18" t="s">
        <v>23</v>
      </c>
      <c r="S6" s="23">
        <f>SUM(O6:O11)</f>
        <v>50892.336363731418</v>
      </c>
      <c r="T6" s="23">
        <f>SUM(P6:P11)</f>
        <v>58119.224407697373</v>
      </c>
      <c r="U6" s="21">
        <v>22000</v>
      </c>
    </row>
    <row r="7" spans="1:21" x14ac:dyDescent="0.2">
      <c r="A7" s="19" t="s">
        <v>22</v>
      </c>
      <c r="B7" s="18"/>
      <c r="C7" s="18" t="s">
        <v>24</v>
      </c>
      <c r="D7" s="18">
        <f>22.16*2</f>
        <v>44.32</v>
      </c>
      <c r="F7" s="15">
        <v>80</v>
      </c>
      <c r="G7" s="15">
        <v>40</v>
      </c>
      <c r="H7" s="15">
        <v>180</v>
      </c>
      <c r="I7" s="15">
        <v>20</v>
      </c>
      <c r="J7" s="15">
        <v>6.5</v>
      </c>
      <c r="K7" s="15" t="s">
        <v>17</v>
      </c>
      <c r="L7" s="15">
        <v>70</v>
      </c>
      <c r="M7">
        <f t="shared" si="0"/>
        <v>3102.4</v>
      </c>
      <c r="O7" s="16">
        <f t="shared" si="1"/>
        <v>12936.369056521127</v>
      </c>
      <c r="P7" s="22">
        <f t="shared" si="2"/>
        <v>14773.37827140027</v>
      </c>
      <c r="R7" s="18" t="s">
        <v>25</v>
      </c>
      <c r="S7" s="23">
        <f>SUM(O12:O15)</f>
        <v>13176.549193723169</v>
      </c>
      <c r="T7" s="23">
        <f>SUM(P12:P15)</f>
        <v>15047.664820018326</v>
      </c>
      <c r="U7" s="21">
        <v>6000</v>
      </c>
    </row>
    <row r="8" spans="1:21" x14ac:dyDescent="0.2">
      <c r="A8" s="19" t="s">
        <v>22</v>
      </c>
      <c r="B8" s="18"/>
      <c r="C8" s="18" t="s">
        <v>26</v>
      </c>
      <c r="D8" s="18">
        <v>27.63</v>
      </c>
      <c r="F8" s="15">
        <v>80</v>
      </c>
      <c r="G8" s="15">
        <v>40</v>
      </c>
      <c r="H8" s="15">
        <v>180</v>
      </c>
      <c r="I8" s="15">
        <v>20</v>
      </c>
      <c r="J8" s="15">
        <v>6.5</v>
      </c>
      <c r="K8" s="15" t="s">
        <v>17</v>
      </c>
      <c r="L8" s="15">
        <v>70</v>
      </c>
      <c r="M8">
        <f t="shared" si="0"/>
        <v>1934.1</v>
      </c>
      <c r="O8" s="16">
        <f t="shared" si="1"/>
        <v>8064.7986694873362</v>
      </c>
      <c r="P8" s="22">
        <f t="shared" si="2"/>
        <v>9210.0280153156473</v>
      </c>
      <c r="R8" s="18" t="s">
        <v>27</v>
      </c>
      <c r="S8" s="24"/>
      <c r="T8" s="24">
        <f>N33</f>
        <v>7583</v>
      </c>
      <c r="U8" s="21"/>
    </row>
    <row r="9" spans="1:21" x14ac:dyDescent="0.2">
      <c r="A9" s="19" t="s">
        <v>28</v>
      </c>
      <c r="B9" s="18"/>
      <c r="C9" s="18"/>
      <c r="D9" s="18">
        <v>34.909999999999997</v>
      </c>
      <c r="F9" s="15">
        <v>70</v>
      </c>
      <c r="G9" s="15">
        <v>30</v>
      </c>
      <c r="H9" s="15">
        <v>140</v>
      </c>
      <c r="I9" s="15"/>
      <c r="J9" s="15"/>
      <c r="K9" s="15" t="s">
        <v>17</v>
      </c>
      <c r="L9" s="15">
        <v>50</v>
      </c>
      <c r="M9">
        <f t="shared" si="0"/>
        <v>1745.4999999999998</v>
      </c>
      <c r="O9" s="16">
        <f t="shared" si="1"/>
        <v>7278.3755119125917</v>
      </c>
      <c r="P9" s="22">
        <f t="shared" si="2"/>
        <v>8311.9300453613869</v>
      </c>
      <c r="R9" s="18" t="s">
        <v>29</v>
      </c>
      <c r="S9" s="23">
        <f>SUM(O17:O20)</f>
        <v>16804.270016045692</v>
      </c>
      <c r="T9" s="23">
        <f>SUM(P17:P20)</f>
        <v>19190.534564770212</v>
      </c>
      <c r="U9" s="21">
        <v>11000</v>
      </c>
    </row>
    <row r="10" spans="1:21" x14ac:dyDescent="0.2">
      <c r="A10" s="19" t="s">
        <v>30</v>
      </c>
      <c r="B10" s="18"/>
      <c r="C10" s="18"/>
      <c r="D10" s="18">
        <v>32.99</v>
      </c>
      <c r="F10" s="15">
        <v>70</v>
      </c>
      <c r="G10" s="15">
        <v>30</v>
      </c>
      <c r="H10" s="15">
        <v>140</v>
      </c>
      <c r="I10" s="15"/>
      <c r="J10" s="15"/>
      <c r="K10" s="15" t="s">
        <v>17</v>
      </c>
      <c r="L10" s="15">
        <v>50</v>
      </c>
      <c r="M10">
        <f t="shared" si="0"/>
        <v>1649.5</v>
      </c>
      <c r="O10" s="16">
        <f t="shared" si="1"/>
        <v>6878.0752832425223</v>
      </c>
      <c r="P10" s="22">
        <f t="shared" si="2"/>
        <v>7854.7857976646301</v>
      </c>
      <c r="R10" s="18" t="s">
        <v>31</v>
      </c>
      <c r="S10" s="23">
        <f>SUM(O21:O25)</f>
        <v>8487.6157860200983</v>
      </c>
      <c r="T10" s="23">
        <f>SUM(P21:P25)</f>
        <v>9692.8866269453501</v>
      </c>
      <c r="U10" s="21">
        <v>5000</v>
      </c>
    </row>
    <row r="11" spans="1:21" x14ac:dyDescent="0.2">
      <c r="A11" s="19" t="s">
        <v>32</v>
      </c>
      <c r="B11" s="18"/>
      <c r="C11" s="18"/>
      <c r="D11" s="18">
        <v>31.15</v>
      </c>
      <c r="F11" s="15">
        <v>70</v>
      </c>
      <c r="G11" s="15">
        <v>30</v>
      </c>
      <c r="H11" s="15">
        <v>140</v>
      </c>
      <c r="I11" s="15"/>
      <c r="J11" s="15"/>
      <c r="K11" s="15" t="s">
        <v>17</v>
      </c>
      <c r="L11" s="15">
        <v>50</v>
      </c>
      <c r="M11">
        <f t="shared" si="0"/>
        <v>1557.5</v>
      </c>
      <c r="O11" s="16">
        <f t="shared" si="1"/>
        <v>6494.4542307670372</v>
      </c>
      <c r="P11" s="22">
        <f t="shared" si="2"/>
        <v>7416.6892269552345</v>
      </c>
      <c r="R11" s="18"/>
      <c r="S11" s="20">
        <f>SUM(S5:S10)</f>
        <v>109665.16649999999</v>
      </c>
      <c r="T11" s="20">
        <f>SUM(T5:T10)</f>
        <v>132821</v>
      </c>
      <c r="U11" s="21">
        <f>SUM(U5:U10)</f>
        <v>56000</v>
      </c>
    </row>
    <row r="12" spans="1:21" x14ac:dyDescent="0.2">
      <c r="A12" s="19" t="s">
        <v>33</v>
      </c>
      <c r="B12" s="18"/>
      <c r="C12" s="18" t="s">
        <v>34</v>
      </c>
      <c r="D12" s="18">
        <v>9.9</v>
      </c>
      <c r="F12" s="15">
        <v>100</v>
      </c>
      <c r="G12" s="15">
        <v>60</v>
      </c>
      <c r="H12" s="15">
        <v>240</v>
      </c>
      <c r="I12" s="15">
        <v>30</v>
      </c>
      <c r="J12" s="15">
        <v>6.5</v>
      </c>
      <c r="K12" s="15" t="s">
        <v>17</v>
      </c>
      <c r="L12" s="15">
        <v>100</v>
      </c>
      <c r="M12">
        <f t="shared" si="0"/>
        <v>990</v>
      </c>
      <c r="O12" s="16">
        <f t="shared" si="1"/>
        <v>4128.0961081601072</v>
      </c>
      <c r="P12" s="25">
        <f t="shared" si="2"/>
        <v>4714.3000543728303</v>
      </c>
    </row>
    <row r="13" spans="1:21" x14ac:dyDescent="0.2">
      <c r="A13" s="19" t="s">
        <v>35</v>
      </c>
      <c r="B13" s="18"/>
      <c r="C13" s="18" t="s">
        <v>36</v>
      </c>
      <c r="D13" s="18">
        <f>8.1+3</f>
        <v>11.1</v>
      </c>
      <c r="F13" s="15">
        <v>80</v>
      </c>
      <c r="G13" s="15">
        <v>40</v>
      </c>
      <c r="H13" s="15">
        <v>180</v>
      </c>
      <c r="I13" s="15">
        <v>20</v>
      </c>
      <c r="J13" s="15">
        <v>6.5</v>
      </c>
      <c r="K13" s="15" t="s">
        <v>17</v>
      </c>
      <c r="L13" s="15">
        <v>70</v>
      </c>
      <c r="M13">
        <f t="shared" si="0"/>
        <v>777</v>
      </c>
      <c r="O13" s="16">
        <f t="shared" si="1"/>
        <v>3239.9299757983867</v>
      </c>
      <c r="P13" s="25">
        <f t="shared" si="2"/>
        <v>3700.0112547956451</v>
      </c>
    </row>
    <row r="14" spans="1:21" x14ac:dyDescent="0.2">
      <c r="A14" s="19" t="s">
        <v>37</v>
      </c>
      <c r="B14" s="18"/>
      <c r="C14" s="18" t="s">
        <v>38</v>
      </c>
      <c r="D14" s="18">
        <v>8.6</v>
      </c>
      <c r="F14" s="15">
        <v>80</v>
      </c>
      <c r="G14" s="15">
        <v>40</v>
      </c>
      <c r="H14" s="15">
        <v>180</v>
      </c>
      <c r="I14" s="15"/>
      <c r="J14" s="15"/>
      <c r="K14" s="15" t="s">
        <v>17</v>
      </c>
      <c r="L14" s="15">
        <v>70</v>
      </c>
      <c r="M14">
        <f t="shared" si="0"/>
        <v>602</v>
      </c>
      <c r="O14" s="16">
        <f t="shared" si="1"/>
        <v>2510.2160172852368</v>
      </c>
      <c r="P14" s="25">
        <f t="shared" si="2"/>
        <v>2866.6753865984278</v>
      </c>
    </row>
    <row r="15" spans="1:21" x14ac:dyDescent="0.2">
      <c r="A15" s="19" t="s">
        <v>39</v>
      </c>
      <c r="B15" s="18"/>
      <c r="C15" s="18" t="s">
        <v>40</v>
      </c>
      <c r="D15" s="18">
        <v>11.3</v>
      </c>
      <c r="F15" s="15">
        <v>80</v>
      </c>
      <c r="G15" s="15">
        <v>40</v>
      </c>
      <c r="H15" s="15">
        <v>180</v>
      </c>
      <c r="I15" s="15"/>
      <c r="J15" s="15"/>
      <c r="K15" s="15" t="s">
        <v>17</v>
      </c>
      <c r="L15" s="15">
        <v>70</v>
      </c>
      <c r="M15">
        <f t="shared" si="0"/>
        <v>791</v>
      </c>
      <c r="O15" s="16">
        <f t="shared" si="1"/>
        <v>3298.3070924794392</v>
      </c>
      <c r="P15" s="25">
        <f t="shared" si="2"/>
        <v>3766.678124251423</v>
      </c>
    </row>
    <row r="16" spans="1:21" x14ac:dyDescent="0.2">
      <c r="A16" s="19" t="s">
        <v>41</v>
      </c>
      <c r="B16" s="18"/>
      <c r="C16" s="18"/>
      <c r="D16" s="18">
        <v>26</v>
      </c>
      <c r="F16" s="15">
        <v>80</v>
      </c>
      <c r="G16" s="15">
        <v>40</v>
      </c>
      <c r="H16" s="15">
        <v>180</v>
      </c>
      <c r="I16" s="15"/>
      <c r="J16" s="15"/>
      <c r="K16" s="15" t="s">
        <v>17</v>
      </c>
      <c r="L16" s="15">
        <v>70</v>
      </c>
      <c r="N16">
        <f>L16*D16</f>
        <v>1820</v>
      </c>
      <c r="O16" s="16">
        <f t="shared" si="1"/>
        <v>0</v>
      </c>
      <c r="P16" s="26">
        <f t="shared" si="2"/>
        <v>0</v>
      </c>
      <c r="Q16">
        <f>N16</f>
        <v>1820</v>
      </c>
    </row>
    <row r="17" spans="1:16" x14ac:dyDescent="0.2">
      <c r="A17" s="19" t="s">
        <v>42</v>
      </c>
      <c r="B17" s="18"/>
      <c r="C17" s="18" t="s">
        <v>26</v>
      </c>
      <c r="D17" s="18">
        <v>9.8000000000000007</v>
      </c>
      <c r="F17" s="15">
        <v>100</v>
      </c>
      <c r="G17" s="15">
        <v>60</v>
      </c>
      <c r="H17" s="15">
        <v>240</v>
      </c>
      <c r="I17" s="15">
        <v>30</v>
      </c>
      <c r="J17" s="15">
        <v>6.5</v>
      </c>
      <c r="K17" s="15" t="s">
        <v>17</v>
      </c>
      <c r="L17" s="15">
        <v>100</v>
      </c>
      <c r="M17">
        <f t="shared" si="0"/>
        <v>980.00000000000011</v>
      </c>
      <c r="O17" s="16">
        <f t="shared" si="1"/>
        <v>4086.3981676736416</v>
      </c>
      <c r="P17" s="27">
        <f t="shared" si="2"/>
        <v>4666.6808619044177</v>
      </c>
    </row>
    <row r="18" spans="1:16" x14ac:dyDescent="0.2">
      <c r="A18" s="19" t="s">
        <v>43</v>
      </c>
      <c r="B18" s="18"/>
      <c r="C18" s="18" t="s">
        <v>44</v>
      </c>
      <c r="D18" s="18">
        <f>19.1/2</f>
        <v>9.5500000000000007</v>
      </c>
      <c r="F18" s="15">
        <v>100</v>
      </c>
      <c r="G18" s="15">
        <v>60</v>
      </c>
      <c r="H18" s="15">
        <v>240</v>
      </c>
      <c r="I18" s="15">
        <v>30</v>
      </c>
      <c r="J18" s="15">
        <v>6.5</v>
      </c>
      <c r="K18" s="15" t="s">
        <v>17</v>
      </c>
      <c r="L18" s="15">
        <v>100</v>
      </c>
      <c r="M18">
        <f t="shared" si="0"/>
        <v>955.00000000000011</v>
      </c>
      <c r="O18" s="16">
        <f t="shared" si="1"/>
        <v>3982.1533164574776</v>
      </c>
      <c r="P18" s="27">
        <f t="shared" si="2"/>
        <v>4547.6328807333875</v>
      </c>
    </row>
    <row r="19" spans="1:16" x14ac:dyDescent="0.2">
      <c r="A19" s="19" t="s">
        <v>45</v>
      </c>
      <c r="B19" s="18"/>
      <c r="C19" s="18" t="s">
        <v>46</v>
      </c>
      <c r="D19" s="18">
        <f>19.1/2</f>
        <v>9.5500000000000007</v>
      </c>
      <c r="F19" s="15">
        <v>100</v>
      </c>
      <c r="G19" s="15">
        <v>60</v>
      </c>
      <c r="H19" s="15">
        <v>240</v>
      </c>
      <c r="I19" s="15">
        <v>30</v>
      </c>
      <c r="J19" s="15">
        <v>6.5</v>
      </c>
      <c r="K19" s="15" t="s">
        <v>17</v>
      </c>
      <c r="L19" s="15">
        <v>100</v>
      </c>
      <c r="M19">
        <f t="shared" si="0"/>
        <v>955.00000000000011</v>
      </c>
      <c r="O19" s="16">
        <f t="shared" si="1"/>
        <v>3982.1533164574776</v>
      </c>
      <c r="P19" s="27">
        <f t="shared" si="2"/>
        <v>4547.6328807333875</v>
      </c>
    </row>
    <row r="20" spans="1:16" x14ac:dyDescent="0.2">
      <c r="A20" s="19" t="s">
        <v>47</v>
      </c>
      <c r="B20" s="18"/>
      <c r="C20" s="18" t="s">
        <v>38</v>
      </c>
      <c r="D20" s="18">
        <v>11.4</v>
      </c>
      <c r="F20" s="15">
        <v>100</v>
      </c>
      <c r="G20" s="15">
        <v>60</v>
      </c>
      <c r="H20" s="15">
        <v>240</v>
      </c>
      <c r="I20" s="15">
        <v>30</v>
      </c>
      <c r="J20" s="15">
        <v>6.5</v>
      </c>
      <c r="K20" s="15" t="s">
        <v>17</v>
      </c>
      <c r="L20" s="15">
        <v>100</v>
      </c>
      <c r="M20">
        <f t="shared" si="0"/>
        <v>1140</v>
      </c>
      <c r="O20" s="16">
        <f t="shared" si="1"/>
        <v>4753.5652154570935</v>
      </c>
      <c r="P20" s="27">
        <f t="shared" si="2"/>
        <v>5428.5879413990169</v>
      </c>
    </row>
    <row r="21" spans="1:16" x14ac:dyDescent="0.2">
      <c r="A21" s="19" t="s">
        <v>48</v>
      </c>
      <c r="B21" s="18"/>
      <c r="C21" s="18" t="s">
        <v>24</v>
      </c>
      <c r="D21" s="18">
        <v>6.28</v>
      </c>
      <c r="F21" s="15">
        <v>70</v>
      </c>
      <c r="G21" s="15">
        <v>30</v>
      </c>
      <c r="H21" s="15">
        <v>140</v>
      </c>
      <c r="I21" s="15"/>
      <c r="J21" s="15"/>
      <c r="K21" s="15" t="s">
        <v>17</v>
      </c>
      <c r="L21" s="15">
        <v>50</v>
      </c>
      <c r="M21">
        <f t="shared" si="0"/>
        <v>314</v>
      </c>
      <c r="O21" s="16">
        <f t="shared" si="1"/>
        <v>1309.3153312750239</v>
      </c>
      <c r="P21" s="28">
        <f t="shared" si="2"/>
        <v>1495.2426435081502</v>
      </c>
    </row>
    <row r="22" spans="1:16" x14ac:dyDescent="0.2">
      <c r="A22" s="19" t="s">
        <v>49</v>
      </c>
      <c r="B22" s="18"/>
      <c r="C22" s="18" t="s">
        <v>16</v>
      </c>
      <c r="D22" s="18">
        <v>5.13</v>
      </c>
      <c r="F22" s="15">
        <v>80</v>
      </c>
      <c r="G22" s="15">
        <v>40</v>
      </c>
      <c r="H22" s="15">
        <v>180</v>
      </c>
      <c r="I22" s="15">
        <v>20</v>
      </c>
      <c r="J22" s="15">
        <v>6.5</v>
      </c>
      <c r="K22" s="15" t="s">
        <v>17</v>
      </c>
      <c r="L22" s="15">
        <v>70</v>
      </c>
      <c r="M22">
        <f t="shared" si="0"/>
        <v>359.09999999999997</v>
      </c>
      <c r="O22" s="16">
        <f t="shared" si="1"/>
        <v>1497.3730428689842</v>
      </c>
      <c r="P22" s="28">
        <f t="shared" si="2"/>
        <v>1710.00520154069</v>
      </c>
    </row>
    <row r="23" spans="1:16" x14ac:dyDescent="0.2">
      <c r="A23" s="19" t="s">
        <v>50</v>
      </c>
      <c r="B23" s="18"/>
      <c r="C23" s="18" t="s">
        <v>16</v>
      </c>
      <c r="D23" s="18">
        <f>9.55/2</f>
        <v>4.7750000000000004</v>
      </c>
      <c r="F23" s="15">
        <v>100</v>
      </c>
      <c r="G23" s="15">
        <v>60</v>
      </c>
      <c r="H23" s="15">
        <v>240</v>
      </c>
      <c r="I23" s="15">
        <v>30</v>
      </c>
      <c r="J23" s="15">
        <v>6.5</v>
      </c>
      <c r="K23" s="15" t="s">
        <v>17</v>
      </c>
      <c r="L23" s="15">
        <v>100</v>
      </c>
      <c r="M23">
        <f t="shared" si="0"/>
        <v>477.50000000000006</v>
      </c>
      <c r="O23" s="16">
        <f t="shared" si="1"/>
        <v>1991.0766582287388</v>
      </c>
      <c r="P23" s="28">
        <f t="shared" si="2"/>
        <v>2273.8164403666938</v>
      </c>
    </row>
    <row r="24" spans="1:16" x14ac:dyDescent="0.2">
      <c r="A24" s="19" t="s">
        <v>51</v>
      </c>
      <c r="B24" s="18"/>
      <c r="C24" s="18" t="s">
        <v>16</v>
      </c>
      <c r="D24" s="18">
        <f t="shared" ref="D24" si="3">9.55/2</f>
        <v>4.7750000000000004</v>
      </c>
      <c r="F24" s="15">
        <v>100</v>
      </c>
      <c r="G24" s="15">
        <v>60</v>
      </c>
      <c r="H24" s="15">
        <v>240</v>
      </c>
      <c r="I24" s="15">
        <v>30</v>
      </c>
      <c r="J24" s="15">
        <v>6.5</v>
      </c>
      <c r="K24" s="15" t="s">
        <v>17</v>
      </c>
      <c r="L24" s="15">
        <v>100</v>
      </c>
      <c r="M24">
        <f t="shared" si="0"/>
        <v>477.50000000000006</v>
      </c>
      <c r="O24" s="16">
        <f t="shared" si="1"/>
        <v>1991.0766582287388</v>
      </c>
      <c r="P24" s="28">
        <f t="shared" si="2"/>
        <v>2273.8164403666938</v>
      </c>
    </row>
    <row r="25" spans="1:16" x14ac:dyDescent="0.2">
      <c r="A25" s="19" t="s">
        <v>52</v>
      </c>
      <c r="B25" s="18"/>
      <c r="C25" s="18" t="s">
        <v>38</v>
      </c>
      <c r="D25" s="18">
        <v>5.82</v>
      </c>
      <c r="F25" s="15">
        <v>80</v>
      </c>
      <c r="G25" s="15">
        <v>40</v>
      </c>
      <c r="H25" s="15">
        <v>180</v>
      </c>
      <c r="I25" s="15">
        <v>20</v>
      </c>
      <c r="J25" s="15">
        <v>6.5</v>
      </c>
      <c r="K25" s="15" t="s">
        <v>17</v>
      </c>
      <c r="L25" s="15">
        <v>70</v>
      </c>
      <c r="M25">
        <f t="shared" si="0"/>
        <v>407.40000000000003</v>
      </c>
      <c r="O25" s="16">
        <f t="shared" si="1"/>
        <v>1698.7740954186138</v>
      </c>
      <c r="P25" s="28">
        <f t="shared" si="2"/>
        <v>1940.0059011631222</v>
      </c>
    </row>
    <row r="26" spans="1:16" x14ac:dyDescent="0.2">
      <c r="A26" s="19" t="s">
        <v>53</v>
      </c>
      <c r="B26" s="18"/>
      <c r="C26" s="18"/>
      <c r="D26" s="18">
        <v>30</v>
      </c>
      <c r="F26" s="15">
        <v>205</v>
      </c>
      <c r="G26" s="15">
        <v>22</v>
      </c>
      <c r="H26" s="15">
        <v>52</v>
      </c>
      <c r="I26" s="15"/>
      <c r="J26" s="15"/>
      <c r="K26" s="15"/>
      <c r="L26" s="15"/>
    </row>
    <row r="27" spans="1:16" x14ac:dyDescent="0.2">
      <c r="A27" s="19" t="s">
        <v>54</v>
      </c>
      <c r="B27" s="18"/>
      <c r="C27" s="18"/>
      <c r="D27" s="18">
        <v>15</v>
      </c>
      <c r="F27" s="15">
        <v>107</v>
      </c>
      <c r="G27" s="15">
        <v>25</v>
      </c>
      <c r="H27" s="15"/>
      <c r="I27" s="15"/>
      <c r="J27" s="15"/>
      <c r="K27" s="15"/>
      <c r="L27" s="15"/>
    </row>
    <row r="28" spans="1:16" x14ac:dyDescent="0.2">
      <c r="A28" s="19" t="s">
        <v>55</v>
      </c>
      <c r="B28" s="18"/>
      <c r="C28" s="18"/>
      <c r="D28" s="18">
        <v>16</v>
      </c>
      <c r="F28" s="15">
        <v>133</v>
      </c>
      <c r="G28" s="15">
        <v>23</v>
      </c>
      <c r="H28" s="15"/>
      <c r="I28" s="15"/>
      <c r="J28" s="15"/>
      <c r="K28" s="15"/>
      <c r="L28" s="15"/>
    </row>
    <row r="29" spans="1:16" x14ac:dyDescent="0.2">
      <c r="A29" s="19" t="s">
        <v>56</v>
      </c>
      <c r="B29" s="18"/>
      <c r="C29" s="18"/>
      <c r="D29" s="18">
        <v>5</v>
      </c>
      <c r="F29" s="15">
        <v>121</v>
      </c>
      <c r="G29" s="15">
        <v>25</v>
      </c>
      <c r="H29" s="15">
        <v>51</v>
      </c>
      <c r="I29" s="15"/>
      <c r="J29" s="15"/>
      <c r="K29" s="15"/>
      <c r="L29" s="15"/>
    </row>
    <row r="30" spans="1:16" x14ac:dyDescent="0.2">
      <c r="A30" s="19" t="s">
        <v>57</v>
      </c>
      <c r="B30" s="18"/>
      <c r="C30" s="18"/>
      <c r="D30" s="18">
        <v>4</v>
      </c>
      <c r="F30" s="15">
        <v>100</v>
      </c>
      <c r="G30" s="15">
        <v>31</v>
      </c>
      <c r="H30" s="15"/>
      <c r="I30" s="15"/>
      <c r="J30" s="15"/>
      <c r="K30" s="15"/>
      <c r="L30" s="29"/>
    </row>
    <row r="31" spans="1:16" x14ac:dyDescent="0.2">
      <c r="D31">
        <f>SUM(D4:D25)</f>
        <v>382.16999999999996</v>
      </c>
      <c r="L31" t="s">
        <v>58</v>
      </c>
      <c r="M31" s="30">
        <f>SUM(M4:M30)</f>
        <v>26299.9</v>
      </c>
      <c r="N31">
        <f>SUM(N4:N30)</f>
        <v>1820</v>
      </c>
    </row>
    <row r="32" spans="1:16" x14ac:dyDescent="0.2">
      <c r="L32" t="s">
        <v>4</v>
      </c>
      <c r="M32" s="30">
        <v>109665.16650000001</v>
      </c>
      <c r="O32" s="16">
        <f>SUM(O4:O25)</f>
        <v>109665.16650000001</v>
      </c>
    </row>
    <row r="33" spans="12:17" x14ac:dyDescent="0.2">
      <c r="L33" t="s">
        <v>5</v>
      </c>
      <c r="M33" s="30">
        <v>125238</v>
      </c>
      <c r="N33">
        <v>7583</v>
      </c>
      <c r="P33" s="16">
        <f>SUM(P4:P25)</f>
        <v>125237.99999999997</v>
      </c>
      <c r="Q33" s="31">
        <f>P33+N33</f>
        <v>132820.99999999997</v>
      </c>
    </row>
    <row r="40" spans="12:17" x14ac:dyDescent="0.2">
      <c r="L40" s="18"/>
      <c r="M40" s="32" t="s">
        <v>2</v>
      </c>
      <c r="N40" s="32" t="s">
        <v>3</v>
      </c>
      <c r="O40" s="32" t="s">
        <v>59</v>
      </c>
    </row>
    <row r="41" spans="12:17" x14ac:dyDescent="0.2">
      <c r="L41" s="18" t="s">
        <v>60</v>
      </c>
      <c r="M41" s="21">
        <v>117750</v>
      </c>
      <c r="N41" s="18">
        <v>109665.16</v>
      </c>
      <c r="O41" s="18">
        <v>85000</v>
      </c>
    </row>
    <row r="42" spans="12:17" x14ac:dyDescent="0.2">
      <c r="L42" s="18" t="s">
        <v>61</v>
      </c>
      <c r="M42" s="21">
        <v>133058</v>
      </c>
      <c r="N42" s="18">
        <v>132821</v>
      </c>
      <c r="O42" s="18"/>
    </row>
    <row r="43" spans="12:17" ht="17" thickBot="1" x14ac:dyDescent="0.25">
      <c r="L43" s="33" t="s">
        <v>62</v>
      </c>
      <c r="M43" s="33">
        <v>0.36</v>
      </c>
      <c r="N43" s="33"/>
      <c r="O43" s="33">
        <v>0.68</v>
      </c>
    </row>
    <row r="44" spans="12:17" ht="17" thickBot="1" x14ac:dyDescent="0.25">
      <c r="L44" s="34" t="s">
        <v>63</v>
      </c>
      <c r="M44" s="35">
        <v>47900.7</v>
      </c>
      <c r="N44" s="36">
        <v>46632.95</v>
      </c>
      <c r="O44" s="37">
        <v>57800</v>
      </c>
    </row>
    <row r="45" spans="12:17" x14ac:dyDescent="0.2">
      <c r="L45" s="38"/>
      <c r="M45" s="38" t="s">
        <v>64</v>
      </c>
      <c r="N45" s="38" t="s">
        <v>65</v>
      </c>
      <c r="O45" s="38" t="s">
        <v>66</v>
      </c>
    </row>
    <row r="46" spans="12:17" x14ac:dyDescent="0.2">
      <c r="L46" s="18" t="s">
        <v>63</v>
      </c>
      <c r="M46" s="18"/>
      <c r="N46" s="39">
        <v>43582.2</v>
      </c>
      <c r="O46" s="18"/>
    </row>
    <row r="47" spans="12:17" x14ac:dyDescent="0.2">
      <c r="L47" s="18"/>
      <c r="M47" s="18"/>
      <c r="N47" s="18" t="s">
        <v>67</v>
      </c>
      <c r="O47" s="18"/>
    </row>
    <row r="48" spans="12:17" x14ac:dyDescent="0.2">
      <c r="N48" s="40">
        <f>N46/N44-1</f>
        <v>-6.5420480582935481E-2</v>
      </c>
    </row>
    <row r="49" spans="14:14" x14ac:dyDescent="0.2">
      <c r="N49" s="41"/>
    </row>
  </sheetData>
  <mergeCells count="1">
    <mergeCell ref="F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 Cosecha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Miguel Orb</dc:creator>
  <cp:lastModifiedBy>José Miguel Orb</cp:lastModifiedBy>
  <dcterms:created xsi:type="dcterms:W3CDTF">2026-02-25T17:58:26Z</dcterms:created>
  <dcterms:modified xsi:type="dcterms:W3CDTF">2026-02-25T17:58:38Z</dcterms:modified>
</cp:coreProperties>
</file>